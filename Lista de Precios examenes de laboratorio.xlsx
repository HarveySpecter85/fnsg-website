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ntigravity\FNSG-OpWEB\Ver1\fnsg-website\"/>
    </mc:Choice>
  </mc:AlternateContent>
  <xr:revisionPtr revIDLastSave="0" documentId="13_ncr:1_{333FFE4C-D633-48D4-9E3E-4FFE0BBB88B1}" xr6:coauthVersionLast="47" xr6:coauthVersionMax="47" xr10:uidLastSave="{00000000-0000-0000-0000-000000000000}"/>
  <bookViews>
    <workbookView xWindow="-108" yWindow="-108" windowWidth="23256" windowHeight="13896" activeTab="1" xr2:uid="{8E88091F-1F30-438B-9541-59B568455BDA}"/>
  </bookViews>
  <sheets>
    <sheet name="Labcorp" sheetId="1" r:id="rId1"/>
    <sheet name="eScree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2" i="2"/>
</calcChain>
</file>

<file path=xl/sharedStrings.xml><?xml version="1.0" encoding="utf-8"?>
<sst xmlns="http://schemas.openxmlformats.org/spreadsheetml/2006/main" count="108" uniqueCount="107">
  <si>
    <t>Labcorp</t>
  </si>
  <si>
    <t>(AF) LabCorp 12-Panel MDMA/ OXY</t>
  </si>
  <si>
    <t>(AF) Drug Screen - Labcorp 14-Panel w/ Alcohol</t>
  </si>
  <si>
    <t>(AF) Drug Screen - Labcorp 9 Panel Nicotine</t>
  </si>
  <si>
    <t>(AF) Drug Screen - LabCorp Urine Alcohol</t>
  </si>
  <si>
    <t>(AF) Drug Screen - LabCorp Urine Nicotine</t>
  </si>
  <si>
    <t>(AF) LabCorp 10 Panel</t>
  </si>
  <si>
    <t>(AF) LabCorp 10 Panel 6AM OXY</t>
  </si>
  <si>
    <t>(AF) LabCorp 10 Panel EXP OPI/ ALCOHOL</t>
  </si>
  <si>
    <t>(AF) LabCorp 10 Panel EXP OPI/ OXY</t>
  </si>
  <si>
    <t>(AF) LabCorp 10 Panel MDMA</t>
  </si>
  <si>
    <t>(AF) LabCorp 10 Panel MDMA/ 6AM</t>
  </si>
  <si>
    <t>(AF) LabCorp 10 Panel OXY/ MEP</t>
  </si>
  <si>
    <t>(AF) Labcorp 10 Panel with Exp Opi</t>
  </si>
  <si>
    <t>(AF) Labcorp 10-Panel ALCOHOL</t>
  </si>
  <si>
    <t>(AF) LabCorp 4 Panel NO THC</t>
  </si>
  <si>
    <t>(AF) LabCorp 5 Panel</t>
  </si>
  <si>
    <t>(AF) LabCorp 5 Panel Alcohol</t>
  </si>
  <si>
    <t>(AF) LabCorp 5-PaneL MDMA /6AM</t>
  </si>
  <si>
    <t>(AF) LabCorp 5-Panel NICOTINE</t>
  </si>
  <si>
    <t>(AF) LabCorp 7 Panel</t>
  </si>
  <si>
    <t>(AF) LabCorp 8 Panel OXY MDMA</t>
  </si>
  <si>
    <t>(AF) LabCorp 9 Panel NO THC/ 6AM</t>
  </si>
  <si>
    <t>(AF) LabCorp 9 Panel OXY</t>
  </si>
  <si>
    <t>(AF) LabCorp 9 Panel Rapid 6AM/ OXY/ NO THC</t>
  </si>
  <si>
    <t>(AF) LabCorp 9 Panel Standard</t>
  </si>
  <si>
    <t>(AF) LabCorp 9-Panel MDMA/6AM/OXY</t>
  </si>
  <si>
    <t>(AF) Labcorp Custom 13-Panel Drug Screen</t>
  </si>
  <si>
    <t>(AF) LabCorp Rapid 10 Panel 6AM</t>
  </si>
  <si>
    <t>(AF) LabCorp Rapid 10 Panel 6AM/ OXY</t>
  </si>
  <si>
    <t>(AF) LabCorp Rapid 5 Panel 6AM/ NO THC</t>
  </si>
  <si>
    <t>(AF) LabCorp Rapid 6 Panel 6AM</t>
  </si>
  <si>
    <t>Sales Prices FNSG</t>
  </si>
  <si>
    <t>ES - 10 Panel 6AM (2249)</t>
  </si>
  <si>
    <t>ES - 10 Panel 6AM/ HYDO/ OXY/ MDMA (4089)</t>
  </si>
  <si>
    <t>ES - 10 Panel ALCOHOL (1208)</t>
  </si>
  <si>
    <t>ES - 10 Panel EXP OPI/ OXY (1910)</t>
  </si>
  <si>
    <t>ES - 10 Panel Hair/EXP OPI (H10P)</t>
  </si>
  <si>
    <t>ES - 10 Panel MDMA/ BATHSALTS (3324)</t>
  </si>
  <si>
    <t>ES - 10 Panel NO THC (1790)</t>
  </si>
  <si>
    <t>ES - 10 Panel OXY/ 6AM/ MDMA (2333)</t>
  </si>
  <si>
    <t>ES - 10 Panel Standard (1204)</t>
  </si>
  <si>
    <t>ES - 10-Panel NICOTINE (1224)</t>
  </si>
  <si>
    <t>ES - 4 Panel NO THC (1687)</t>
  </si>
  <si>
    <t>ES - 5 Panel Alcohol (2447)</t>
  </si>
  <si>
    <t>ES - 5 Panel Hair (H5P)</t>
  </si>
  <si>
    <t>ES - 5 Panel Hair EXP OPI (H5PEO)</t>
  </si>
  <si>
    <t>ES - 5 Panel Standard (1200)</t>
  </si>
  <si>
    <t>ES - 5 Panel w/ MDMA/Expanded Opiates</t>
  </si>
  <si>
    <t>ES - 5-Panel NO THC (1687)</t>
  </si>
  <si>
    <t>ES - 6 Panel Standard (3121)</t>
  </si>
  <si>
    <t>ES - 7 Panel Standard (1203)</t>
  </si>
  <si>
    <t>ES - 8 Panel Standard (3123)</t>
  </si>
  <si>
    <t>ES - 9 Panel NO THC (6599)</t>
  </si>
  <si>
    <t>ES - 9 Panel Standard (1205)</t>
  </si>
  <si>
    <t>ES - Audiogram</t>
  </si>
  <si>
    <t>ES - Chest X-Ray 1of 2 Views</t>
  </si>
  <si>
    <t>ES - Chest X-Ray 2 Views</t>
  </si>
  <si>
    <t>ES - DOT Alcohol (BAT)</t>
  </si>
  <si>
    <t>ES - DOT Physical</t>
  </si>
  <si>
    <t>ES - DOT Physical Recertification</t>
  </si>
  <si>
    <t>ES - DOT Urine Test</t>
  </si>
  <si>
    <t>ES - Hep A Titer</t>
  </si>
  <si>
    <t>ES - Hep A Vaccine #1</t>
  </si>
  <si>
    <t>ES - Hep B Titer</t>
  </si>
  <si>
    <t>ES - Hep B Vaccine #1</t>
  </si>
  <si>
    <t>ES - Hep B Vaccine #2</t>
  </si>
  <si>
    <t>ES - Hep B Vaccine #3</t>
  </si>
  <si>
    <t>ES - Hep C Titer</t>
  </si>
  <si>
    <t>ES - Influenza Vaccine</t>
  </si>
  <si>
    <t>ES - Lift Test</t>
  </si>
  <si>
    <t>ES - MMR Titer</t>
  </si>
  <si>
    <t>ES - MMR Vaccine</t>
  </si>
  <si>
    <t>ES - Non DOT Alcohol (BAT)</t>
  </si>
  <si>
    <t>ES - Non-DOT Physical</t>
  </si>
  <si>
    <t>ES - OSHA Respirator Questionaire</t>
  </si>
  <si>
    <t>ES - Pulmonary Function Test/Spirometry</t>
  </si>
  <si>
    <t>ES - Respirator Fit Test, Qualitative</t>
  </si>
  <si>
    <t>ES - Respirator Fit Test, Quantitative</t>
  </si>
  <si>
    <t>ES - TB Chest X-Ray</t>
  </si>
  <si>
    <t>ES - TB/PPD Skin Test - 1 Step Only</t>
  </si>
  <si>
    <t>ES - TB/PPD Test 1</t>
  </si>
  <si>
    <t>ES - TB/PPD Test 2</t>
  </si>
  <si>
    <t>ES - TDAP</t>
  </si>
  <si>
    <t>ES - Urine Fentanyl Only</t>
  </si>
  <si>
    <t>ES - Varicella Titer</t>
  </si>
  <si>
    <t>ES - Vision Test, Ishihara</t>
  </si>
  <si>
    <t>ES - Vision Test, Jaeger</t>
  </si>
  <si>
    <t>ES - Vision Test, Snellen</t>
  </si>
  <si>
    <t>ES - Vision Test, Titmus</t>
  </si>
  <si>
    <t>ES- Hep A Vaccine #2</t>
  </si>
  <si>
    <t>ES- TSPOT/TB Blood Test</t>
  </si>
  <si>
    <t>ES- Varicella Vaccine</t>
  </si>
  <si>
    <t>PFT/Spirometry</t>
  </si>
  <si>
    <t>xCup Instant 10 Panel NO THC/ EXP OPI</t>
  </si>
  <si>
    <t>xCup Instant 10 Panel NO THC/ EXP OXY</t>
  </si>
  <si>
    <t>xCup Instant 10 Panel OXY</t>
  </si>
  <si>
    <t>xCup Instant 4 Panel</t>
  </si>
  <si>
    <t>xCup Instant 5 Panel</t>
  </si>
  <si>
    <t>xCup Instant 6 Panel</t>
  </si>
  <si>
    <t>xCup Instant 7 Panel OXY</t>
  </si>
  <si>
    <t>xCup Instant 8 Panel</t>
  </si>
  <si>
    <t>xCup Instant 9 Panel NO THC</t>
  </si>
  <si>
    <t>xCup Instant 9 Panel OXY</t>
  </si>
  <si>
    <t>eScreen</t>
  </si>
  <si>
    <t>Sales Price FNSG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</si>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</sst>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99E9B-9363-4921-8225-9785514A9168}">
  <dimension ref="A1:C32"/>
  <sheetViews>
    <sheetView workbookViewId="0">
      <selection activeCell="B2" sqref="B2"/>
    </sheetView>
  </sheetViews>
  <sheetFormatPr defaultRowHeight="14.4" x14ac:dyDescent="0.3"/>
  <cols>
    <col min="1" max="1" width="39.21875" bestFit="1" customWidth="1"/>
    <col min="2" max="2" width="11.21875" bestFit="1" customWidth="1"/>
    <col min="3" max="3" width="18.109375" bestFit="1" customWidth="1"/>
  </cols>
  <sheetData>
    <row r="1" spans="1:3" ht="15.6" x14ac:dyDescent="0.3">
      <c r="A1" s="1" t="s">
        <v>0</v>
      </c>
      <c r="B1" s="1" t="s">
        <v>106</v>
      </c>
      <c r="C1" s="1" t="s">
        <v>32</v>
      </c>
    </row>
    <row r="2" spans="1:3" x14ac:dyDescent="0.3">
      <c r="A2" t="s">
        <v>1</v>
      </c>
      <c r="B2">
        <v>27.2</v>
      </c>
      <c r="C2" s="2">
        <f>(B2*0.2)+B2</f>
        <v>32.64</v>
      </c>
    </row>
    <row r="3" spans="1:3" x14ac:dyDescent="0.3">
      <c r="A3" t="s">
        <v>2</v>
      </c>
      <c r="B3">
        <v>75</v>
      </c>
      <c r="C3" s="2">
        <f t="shared" ref="C3:C32" si="0">(B3*0.2)+B3</f>
        <v>90</v>
      </c>
    </row>
    <row r="4" spans="1:3" x14ac:dyDescent="0.3">
      <c r="A4" t="s">
        <v>3</v>
      </c>
      <c r="B4">
        <v>35</v>
      </c>
      <c r="C4" s="2">
        <f t="shared" si="0"/>
        <v>42</v>
      </c>
    </row>
    <row r="5" spans="1:3" x14ac:dyDescent="0.3">
      <c r="A5" t="s">
        <v>4</v>
      </c>
      <c r="B5">
        <v>35</v>
      </c>
      <c r="C5" s="2">
        <f t="shared" si="0"/>
        <v>42</v>
      </c>
    </row>
    <row r="6" spans="1:3" x14ac:dyDescent="0.3">
      <c r="A6" t="s">
        <v>5</v>
      </c>
      <c r="B6">
        <v>35</v>
      </c>
      <c r="C6" s="2">
        <f t="shared" si="0"/>
        <v>42</v>
      </c>
    </row>
    <row r="7" spans="1:3" x14ac:dyDescent="0.3">
      <c r="A7" t="s">
        <v>6</v>
      </c>
      <c r="B7">
        <v>32</v>
      </c>
      <c r="C7" s="2">
        <f t="shared" si="0"/>
        <v>38.4</v>
      </c>
    </row>
    <row r="8" spans="1:3" x14ac:dyDescent="0.3">
      <c r="A8" t="s">
        <v>7</v>
      </c>
      <c r="B8">
        <v>38</v>
      </c>
      <c r="C8" s="2">
        <f t="shared" si="0"/>
        <v>45.6</v>
      </c>
    </row>
    <row r="9" spans="1:3" x14ac:dyDescent="0.3">
      <c r="A9" t="s">
        <v>8</v>
      </c>
      <c r="B9">
        <v>67</v>
      </c>
      <c r="C9" s="2">
        <f t="shared" si="0"/>
        <v>80.400000000000006</v>
      </c>
    </row>
    <row r="10" spans="1:3" x14ac:dyDescent="0.3">
      <c r="A10" t="s">
        <v>9</v>
      </c>
      <c r="B10">
        <v>35</v>
      </c>
      <c r="C10" s="2">
        <f t="shared" si="0"/>
        <v>42</v>
      </c>
    </row>
    <row r="11" spans="1:3" x14ac:dyDescent="0.3">
      <c r="A11" t="s">
        <v>10</v>
      </c>
      <c r="B11">
        <v>35</v>
      </c>
      <c r="C11" s="2">
        <f t="shared" si="0"/>
        <v>42</v>
      </c>
    </row>
    <row r="12" spans="1:3" x14ac:dyDescent="0.3">
      <c r="A12" t="s">
        <v>11</v>
      </c>
      <c r="B12">
        <v>36</v>
      </c>
      <c r="C12" s="2">
        <f t="shared" si="0"/>
        <v>43.2</v>
      </c>
    </row>
    <row r="13" spans="1:3" x14ac:dyDescent="0.3">
      <c r="A13" t="s">
        <v>12</v>
      </c>
      <c r="B13">
        <v>35</v>
      </c>
      <c r="C13" s="2">
        <f t="shared" si="0"/>
        <v>42</v>
      </c>
    </row>
    <row r="14" spans="1:3" x14ac:dyDescent="0.3">
      <c r="A14" t="s">
        <v>13</v>
      </c>
      <c r="B14">
        <v>41</v>
      </c>
      <c r="C14" s="2">
        <f t="shared" si="0"/>
        <v>49.2</v>
      </c>
    </row>
    <row r="15" spans="1:3" x14ac:dyDescent="0.3">
      <c r="A15" t="s">
        <v>14</v>
      </c>
      <c r="B15">
        <v>33</v>
      </c>
      <c r="C15" s="2">
        <f t="shared" si="0"/>
        <v>39.6</v>
      </c>
    </row>
    <row r="16" spans="1:3" x14ac:dyDescent="0.3">
      <c r="A16" t="s">
        <v>15</v>
      </c>
      <c r="B16">
        <v>32</v>
      </c>
      <c r="C16" s="2">
        <f t="shared" si="0"/>
        <v>38.4</v>
      </c>
    </row>
    <row r="17" spans="1:3" x14ac:dyDescent="0.3">
      <c r="A17" t="s">
        <v>16</v>
      </c>
      <c r="B17">
        <v>28</v>
      </c>
      <c r="C17" s="2">
        <f t="shared" si="0"/>
        <v>33.6</v>
      </c>
    </row>
    <row r="18" spans="1:3" x14ac:dyDescent="0.3">
      <c r="A18" t="s">
        <v>17</v>
      </c>
      <c r="B18">
        <v>48</v>
      </c>
      <c r="C18" s="2">
        <f t="shared" si="0"/>
        <v>57.6</v>
      </c>
    </row>
    <row r="19" spans="1:3" x14ac:dyDescent="0.3">
      <c r="A19" t="s">
        <v>18</v>
      </c>
      <c r="B19">
        <v>30</v>
      </c>
      <c r="C19" s="2">
        <f t="shared" si="0"/>
        <v>36</v>
      </c>
    </row>
    <row r="20" spans="1:3" x14ac:dyDescent="0.3">
      <c r="A20" t="s">
        <v>19</v>
      </c>
      <c r="B20">
        <v>30</v>
      </c>
      <c r="C20" s="2">
        <f t="shared" si="0"/>
        <v>36</v>
      </c>
    </row>
    <row r="21" spans="1:3" x14ac:dyDescent="0.3">
      <c r="A21" t="s">
        <v>20</v>
      </c>
      <c r="B21">
        <v>29</v>
      </c>
      <c r="C21" s="2">
        <f t="shared" si="0"/>
        <v>34.799999999999997</v>
      </c>
    </row>
    <row r="22" spans="1:3" x14ac:dyDescent="0.3">
      <c r="A22" t="s">
        <v>21</v>
      </c>
      <c r="B22">
        <v>31</v>
      </c>
      <c r="C22" s="2">
        <f t="shared" si="0"/>
        <v>37.200000000000003</v>
      </c>
    </row>
    <row r="23" spans="1:3" x14ac:dyDescent="0.3">
      <c r="A23" t="s">
        <v>22</v>
      </c>
      <c r="B23">
        <v>31</v>
      </c>
      <c r="C23" s="2">
        <f t="shared" si="0"/>
        <v>37.200000000000003</v>
      </c>
    </row>
    <row r="24" spans="1:3" x14ac:dyDescent="0.3">
      <c r="A24" t="s">
        <v>23</v>
      </c>
      <c r="B24">
        <v>31</v>
      </c>
      <c r="C24" s="2">
        <f t="shared" si="0"/>
        <v>37.200000000000003</v>
      </c>
    </row>
    <row r="25" spans="1:3" x14ac:dyDescent="0.3">
      <c r="A25" t="s">
        <v>24</v>
      </c>
      <c r="B25">
        <v>37</v>
      </c>
      <c r="C25" s="2">
        <f t="shared" si="0"/>
        <v>44.4</v>
      </c>
    </row>
    <row r="26" spans="1:3" x14ac:dyDescent="0.3">
      <c r="A26" t="s">
        <v>25</v>
      </c>
      <c r="B26">
        <v>24</v>
      </c>
      <c r="C26" s="2">
        <f t="shared" si="0"/>
        <v>28.8</v>
      </c>
    </row>
    <row r="27" spans="1:3" x14ac:dyDescent="0.3">
      <c r="A27" t="s">
        <v>26</v>
      </c>
      <c r="B27">
        <v>34</v>
      </c>
      <c r="C27" s="2">
        <f t="shared" si="0"/>
        <v>40.799999999999997</v>
      </c>
    </row>
    <row r="28" spans="1:3" x14ac:dyDescent="0.3">
      <c r="A28" t="s">
        <v>27</v>
      </c>
      <c r="B28">
        <v>45</v>
      </c>
      <c r="C28" s="2">
        <f t="shared" si="0"/>
        <v>54</v>
      </c>
    </row>
    <row r="29" spans="1:3" x14ac:dyDescent="0.3">
      <c r="A29" t="s">
        <v>28</v>
      </c>
      <c r="B29">
        <v>37</v>
      </c>
      <c r="C29" s="2">
        <f t="shared" si="0"/>
        <v>44.4</v>
      </c>
    </row>
    <row r="30" spans="1:3" x14ac:dyDescent="0.3">
      <c r="A30" t="s">
        <v>29</v>
      </c>
      <c r="B30">
        <v>39</v>
      </c>
      <c r="C30" s="2">
        <f t="shared" si="0"/>
        <v>46.8</v>
      </c>
    </row>
    <row r="31" spans="1:3" x14ac:dyDescent="0.3">
      <c r="A31" t="s">
        <v>30</v>
      </c>
      <c r="B31">
        <v>37</v>
      </c>
      <c r="C31" s="2">
        <f t="shared" si="0"/>
        <v>44.4</v>
      </c>
    </row>
    <row r="32" spans="1:3" x14ac:dyDescent="0.3">
      <c r="A32" t="s">
        <v>31</v>
      </c>
      <c r="B32">
        <v>35</v>
      </c>
      <c r="C32" s="2">
        <f t="shared" si="0"/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2C6F-5942-4E67-B664-09122094148A}">
  <dimension ref="A1:C72"/>
  <sheetViews>
    <sheetView tabSelected="1" workbookViewId="0">
      <selection activeCell="C3" sqref="C3"/>
    </sheetView>
  </sheetViews>
  <sheetFormatPr defaultRowHeight="14.4" x14ac:dyDescent="0.3"/>
  <cols>
    <col min="1" max="1" width="37.77734375" bestFit="1" customWidth="1"/>
    <col min="2" max="2" width="10.88671875" bestFit="1" customWidth="1"/>
    <col min="3" max="3" width="17" bestFit="1" customWidth="1"/>
  </cols>
  <sheetData>
    <row r="1" spans="1:3" ht="15.6" x14ac:dyDescent="0.3">
      <c r="A1" s="1" t="s">
        <v>104</v>
      </c>
      <c r="B1" s="1" t="s">
        <v>106</v>
      </c>
      <c r="C1" s="1" t="s">
        <v>105</v>
      </c>
    </row>
    <row r="2" spans="1:3" x14ac:dyDescent="0.3">
      <c r="A2" t="s">
        <v>33</v>
      </c>
      <c r="B2">
        <v>80</v>
      </c>
      <c r="C2" s="2">
        <f>(B2*0.2)+B2</f>
        <v>96</v>
      </c>
    </row>
    <row r="3" spans="1:3" x14ac:dyDescent="0.3">
      <c r="A3" t="s">
        <v>34</v>
      </c>
      <c r="B3">
        <v>80</v>
      </c>
      <c r="C3" s="2">
        <f t="shared" ref="C3:C66" si="0">(B3*0.2)+B3</f>
        <v>96</v>
      </c>
    </row>
    <row r="4" spans="1:3" x14ac:dyDescent="0.3">
      <c r="A4" t="s">
        <v>35</v>
      </c>
      <c r="B4">
        <v>56</v>
      </c>
      <c r="C4" s="2">
        <f t="shared" si="0"/>
        <v>67.2</v>
      </c>
    </row>
    <row r="5" spans="1:3" x14ac:dyDescent="0.3">
      <c r="A5" t="s">
        <v>36</v>
      </c>
      <c r="B5">
        <v>45</v>
      </c>
      <c r="C5" s="2">
        <f t="shared" si="0"/>
        <v>54</v>
      </c>
    </row>
    <row r="6" spans="1:3" x14ac:dyDescent="0.3">
      <c r="A6" t="s">
        <v>37</v>
      </c>
      <c r="B6">
        <v>123</v>
      </c>
      <c r="C6" s="2">
        <f t="shared" si="0"/>
        <v>147.6</v>
      </c>
    </row>
    <row r="7" spans="1:3" x14ac:dyDescent="0.3">
      <c r="A7" t="s">
        <v>38</v>
      </c>
      <c r="B7">
        <v>129</v>
      </c>
      <c r="C7" s="2">
        <f t="shared" si="0"/>
        <v>154.80000000000001</v>
      </c>
    </row>
    <row r="8" spans="1:3" x14ac:dyDescent="0.3">
      <c r="A8" t="s">
        <v>39</v>
      </c>
      <c r="B8">
        <v>50</v>
      </c>
      <c r="C8" s="2">
        <f t="shared" si="0"/>
        <v>60</v>
      </c>
    </row>
    <row r="9" spans="1:3" x14ac:dyDescent="0.3">
      <c r="A9" t="s">
        <v>40</v>
      </c>
      <c r="B9">
        <v>48</v>
      </c>
      <c r="C9" s="2">
        <f t="shared" si="0"/>
        <v>57.6</v>
      </c>
    </row>
    <row r="10" spans="1:3" x14ac:dyDescent="0.3">
      <c r="A10" t="s">
        <v>41</v>
      </c>
      <c r="B10">
        <v>56</v>
      </c>
      <c r="C10" s="2">
        <f t="shared" si="0"/>
        <v>67.2</v>
      </c>
    </row>
    <row r="11" spans="1:3" x14ac:dyDescent="0.3">
      <c r="A11" t="s">
        <v>42</v>
      </c>
      <c r="B11">
        <v>60</v>
      </c>
      <c r="C11" s="2">
        <f t="shared" si="0"/>
        <v>72</v>
      </c>
    </row>
    <row r="12" spans="1:3" x14ac:dyDescent="0.3">
      <c r="A12" t="s">
        <v>43</v>
      </c>
      <c r="B12">
        <v>40</v>
      </c>
      <c r="C12" s="2">
        <f t="shared" si="0"/>
        <v>48</v>
      </c>
    </row>
    <row r="13" spans="1:3" x14ac:dyDescent="0.3">
      <c r="A13" t="s">
        <v>44</v>
      </c>
      <c r="B13">
        <v>50</v>
      </c>
      <c r="C13" s="2">
        <f t="shared" si="0"/>
        <v>60</v>
      </c>
    </row>
    <row r="14" spans="1:3" x14ac:dyDescent="0.3">
      <c r="A14" t="s">
        <v>45</v>
      </c>
      <c r="B14">
        <v>85</v>
      </c>
      <c r="C14" s="2">
        <f t="shared" si="0"/>
        <v>102</v>
      </c>
    </row>
    <row r="15" spans="1:3" x14ac:dyDescent="0.3">
      <c r="A15" t="s">
        <v>46</v>
      </c>
      <c r="B15">
        <v>113</v>
      </c>
      <c r="C15" s="2">
        <f t="shared" si="0"/>
        <v>135.6</v>
      </c>
    </row>
    <row r="16" spans="1:3" x14ac:dyDescent="0.3">
      <c r="A16" t="s">
        <v>47</v>
      </c>
      <c r="B16">
        <v>45</v>
      </c>
      <c r="C16" s="2">
        <f t="shared" si="0"/>
        <v>54</v>
      </c>
    </row>
    <row r="17" spans="1:3" x14ac:dyDescent="0.3">
      <c r="A17" t="s">
        <v>48</v>
      </c>
      <c r="B17">
        <v>45</v>
      </c>
      <c r="C17" s="2">
        <f t="shared" si="0"/>
        <v>54</v>
      </c>
    </row>
    <row r="18" spans="1:3" x14ac:dyDescent="0.3">
      <c r="A18" t="s">
        <v>49</v>
      </c>
      <c r="B18">
        <v>45</v>
      </c>
      <c r="C18" s="2">
        <f t="shared" si="0"/>
        <v>54</v>
      </c>
    </row>
    <row r="19" spans="1:3" x14ac:dyDescent="0.3">
      <c r="A19" t="s">
        <v>50</v>
      </c>
      <c r="B19">
        <v>46</v>
      </c>
      <c r="C19" s="2">
        <f t="shared" si="0"/>
        <v>55.2</v>
      </c>
    </row>
    <row r="20" spans="1:3" x14ac:dyDescent="0.3">
      <c r="A20" t="s">
        <v>51</v>
      </c>
      <c r="B20">
        <v>47</v>
      </c>
      <c r="C20" s="2">
        <f t="shared" si="0"/>
        <v>56.4</v>
      </c>
    </row>
    <row r="21" spans="1:3" x14ac:dyDescent="0.3">
      <c r="A21" t="s">
        <v>52</v>
      </c>
      <c r="B21">
        <v>48</v>
      </c>
      <c r="C21" s="2">
        <f t="shared" si="0"/>
        <v>57.6</v>
      </c>
    </row>
    <row r="22" spans="1:3" x14ac:dyDescent="0.3">
      <c r="A22" t="s">
        <v>53</v>
      </c>
      <c r="B22">
        <v>46</v>
      </c>
      <c r="C22" s="2">
        <f t="shared" si="0"/>
        <v>55.2</v>
      </c>
    </row>
    <row r="23" spans="1:3" x14ac:dyDescent="0.3">
      <c r="A23" t="s">
        <v>54</v>
      </c>
      <c r="B23">
        <v>49</v>
      </c>
      <c r="C23" s="2">
        <f t="shared" si="0"/>
        <v>58.8</v>
      </c>
    </row>
    <row r="24" spans="1:3" x14ac:dyDescent="0.3">
      <c r="A24" t="s">
        <v>55</v>
      </c>
      <c r="B24">
        <v>63.9</v>
      </c>
      <c r="C24" s="2">
        <f t="shared" si="0"/>
        <v>76.680000000000007</v>
      </c>
    </row>
    <row r="25" spans="1:3" x14ac:dyDescent="0.3">
      <c r="A25" t="s">
        <v>56</v>
      </c>
      <c r="B25">
        <v>121.1</v>
      </c>
      <c r="C25" s="2">
        <f t="shared" si="0"/>
        <v>145.32</v>
      </c>
    </row>
    <row r="26" spans="1:3" x14ac:dyDescent="0.3">
      <c r="A26" t="s">
        <v>57</v>
      </c>
      <c r="B26">
        <v>121.1</v>
      </c>
      <c r="C26" s="2">
        <f t="shared" si="0"/>
        <v>145.32</v>
      </c>
    </row>
    <row r="27" spans="1:3" x14ac:dyDescent="0.3">
      <c r="A27" t="s">
        <v>58</v>
      </c>
      <c r="B27">
        <v>58.4</v>
      </c>
      <c r="C27" s="2">
        <f t="shared" si="0"/>
        <v>70.08</v>
      </c>
    </row>
    <row r="28" spans="1:3" x14ac:dyDescent="0.3">
      <c r="A28" t="s">
        <v>59</v>
      </c>
      <c r="B28">
        <v>110.1</v>
      </c>
      <c r="C28" s="2">
        <f t="shared" si="0"/>
        <v>132.12</v>
      </c>
    </row>
    <row r="29" spans="1:3" x14ac:dyDescent="0.3">
      <c r="A29" t="s">
        <v>60</v>
      </c>
      <c r="B29">
        <v>110.1</v>
      </c>
      <c r="C29" s="2">
        <f t="shared" si="0"/>
        <v>132.12</v>
      </c>
    </row>
    <row r="30" spans="1:3" x14ac:dyDescent="0.3">
      <c r="A30" t="s">
        <v>61</v>
      </c>
      <c r="B30">
        <v>56.2</v>
      </c>
      <c r="C30" s="2">
        <f t="shared" si="0"/>
        <v>67.44</v>
      </c>
    </row>
    <row r="31" spans="1:3" x14ac:dyDescent="0.3">
      <c r="A31" t="s">
        <v>62</v>
      </c>
      <c r="B31">
        <v>82</v>
      </c>
      <c r="C31" s="2">
        <f t="shared" si="0"/>
        <v>98.4</v>
      </c>
    </row>
    <row r="32" spans="1:3" x14ac:dyDescent="0.3">
      <c r="A32" t="s">
        <v>63</v>
      </c>
      <c r="B32">
        <v>70</v>
      </c>
      <c r="C32" s="2">
        <f t="shared" si="0"/>
        <v>84</v>
      </c>
    </row>
    <row r="33" spans="1:3" x14ac:dyDescent="0.3">
      <c r="A33" t="s">
        <v>64</v>
      </c>
      <c r="B33">
        <v>92.5</v>
      </c>
      <c r="C33" s="2">
        <f t="shared" si="0"/>
        <v>111</v>
      </c>
    </row>
    <row r="34" spans="1:3" x14ac:dyDescent="0.3">
      <c r="A34" t="s">
        <v>65</v>
      </c>
      <c r="B34">
        <v>198.1</v>
      </c>
      <c r="C34" s="2">
        <f t="shared" si="0"/>
        <v>237.72</v>
      </c>
    </row>
    <row r="35" spans="1:3" x14ac:dyDescent="0.3">
      <c r="A35" t="s">
        <v>66</v>
      </c>
      <c r="B35">
        <v>198.1</v>
      </c>
      <c r="C35" s="2">
        <f t="shared" si="0"/>
        <v>237.72</v>
      </c>
    </row>
    <row r="36" spans="1:3" x14ac:dyDescent="0.3">
      <c r="A36" t="s">
        <v>67</v>
      </c>
      <c r="B36">
        <v>198.1</v>
      </c>
      <c r="C36" s="2">
        <f t="shared" si="0"/>
        <v>237.72</v>
      </c>
    </row>
    <row r="37" spans="1:3" x14ac:dyDescent="0.3">
      <c r="A37" t="s">
        <v>68</v>
      </c>
      <c r="B37">
        <v>97</v>
      </c>
      <c r="C37" s="2">
        <f t="shared" si="0"/>
        <v>116.4</v>
      </c>
    </row>
    <row r="38" spans="1:3" x14ac:dyDescent="0.3">
      <c r="A38" t="s">
        <v>69</v>
      </c>
      <c r="B38">
        <v>95</v>
      </c>
      <c r="C38" s="2">
        <f t="shared" si="0"/>
        <v>114</v>
      </c>
    </row>
    <row r="39" spans="1:3" x14ac:dyDescent="0.3">
      <c r="A39" t="s">
        <v>70</v>
      </c>
      <c r="B39">
        <v>80.400000000000006</v>
      </c>
      <c r="C39" s="2">
        <f t="shared" si="0"/>
        <v>96.48</v>
      </c>
    </row>
    <row r="40" spans="1:3" x14ac:dyDescent="0.3">
      <c r="A40" t="s">
        <v>71</v>
      </c>
      <c r="B40">
        <v>121.1</v>
      </c>
      <c r="C40" s="2">
        <f t="shared" si="0"/>
        <v>145.32</v>
      </c>
    </row>
    <row r="41" spans="1:3" x14ac:dyDescent="0.3">
      <c r="A41" t="s">
        <v>72</v>
      </c>
      <c r="B41">
        <v>164</v>
      </c>
      <c r="C41" s="2">
        <f t="shared" si="0"/>
        <v>196.8</v>
      </c>
    </row>
    <row r="42" spans="1:3" x14ac:dyDescent="0.3">
      <c r="A42" t="s">
        <v>73</v>
      </c>
      <c r="B42">
        <v>59.5</v>
      </c>
      <c r="C42" s="2">
        <f t="shared" si="0"/>
        <v>71.400000000000006</v>
      </c>
    </row>
    <row r="43" spans="1:3" x14ac:dyDescent="0.3">
      <c r="A43" t="s">
        <v>74</v>
      </c>
      <c r="B43">
        <v>110.1</v>
      </c>
      <c r="C43" s="2">
        <f t="shared" si="0"/>
        <v>132.12</v>
      </c>
    </row>
    <row r="44" spans="1:3" x14ac:dyDescent="0.3">
      <c r="A44" t="s">
        <v>75</v>
      </c>
      <c r="B44">
        <v>54</v>
      </c>
      <c r="C44" s="2">
        <f t="shared" si="0"/>
        <v>64.8</v>
      </c>
    </row>
    <row r="45" spans="1:3" x14ac:dyDescent="0.3">
      <c r="A45" t="s">
        <v>76</v>
      </c>
      <c r="B45">
        <v>95.8</v>
      </c>
      <c r="C45" s="2">
        <f t="shared" si="0"/>
        <v>114.96</v>
      </c>
    </row>
    <row r="46" spans="1:3" x14ac:dyDescent="0.3">
      <c r="A46" t="s">
        <v>77</v>
      </c>
      <c r="B46">
        <v>71.599999999999994</v>
      </c>
      <c r="C46" s="2">
        <f t="shared" si="0"/>
        <v>85.919999999999987</v>
      </c>
    </row>
    <row r="47" spans="1:3" x14ac:dyDescent="0.3">
      <c r="A47" t="s">
        <v>78</v>
      </c>
      <c r="B47">
        <v>75</v>
      </c>
      <c r="C47" s="2">
        <f t="shared" si="0"/>
        <v>90</v>
      </c>
    </row>
    <row r="48" spans="1:3" x14ac:dyDescent="0.3">
      <c r="A48" t="s">
        <v>79</v>
      </c>
      <c r="B48">
        <v>111</v>
      </c>
      <c r="C48" s="2">
        <f t="shared" si="0"/>
        <v>133.19999999999999</v>
      </c>
    </row>
    <row r="49" spans="1:3" x14ac:dyDescent="0.3">
      <c r="A49" t="s">
        <v>80</v>
      </c>
      <c r="B49">
        <v>62.8</v>
      </c>
      <c r="C49" s="2">
        <f t="shared" si="0"/>
        <v>75.36</v>
      </c>
    </row>
    <row r="50" spans="1:3" x14ac:dyDescent="0.3">
      <c r="A50" t="s">
        <v>81</v>
      </c>
      <c r="B50">
        <v>68</v>
      </c>
      <c r="C50" s="2">
        <f t="shared" si="0"/>
        <v>81.599999999999994</v>
      </c>
    </row>
    <row r="51" spans="1:3" x14ac:dyDescent="0.3">
      <c r="A51" t="s">
        <v>82</v>
      </c>
      <c r="B51">
        <v>73.8</v>
      </c>
      <c r="C51" s="2">
        <f t="shared" si="0"/>
        <v>88.56</v>
      </c>
    </row>
    <row r="52" spans="1:3" x14ac:dyDescent="0.3">
      <c r="A52" t="s">
        <v>83</v>
      </c>
      <c r="B52">
        <v>202.5</v>
      </c>
      <c r="C52" s="2">
        <f t="shared" si="0"/>
        <v>243</v>
      </c>
    </row>
    <row r="53" spans="1:3" x14ac:dyDescent="0.3">
      <c r="A53" t="s">
        <v>84</v>
      </c>
      <c r="B53">
        <v>49</v>
      </c>
      <c r="C53" s="2">
        <f t="shared" si="0"/>
        <v>58.8</v>
      </c>
    </row>
    <row r="54" spans="1:3" x14ac:dyDescent="0.3">
      <c r="A54" t="s">
        <v>85</v>
      </c>
      <c r="B54">
        <v>101.3</v>
      </c>
      <c r="C54" s="2">
        <f t="shared" si="0"/>
        <v>121.56</v>
      </c>
    </row>
    <row r="55" spans="1:3" x14ac:dyDescent="0.3">
      <c r="A55" t="s">
        <v>86</v>
      </c>
      <c r="B55">
        <v>39.700000000000003</v>
      </c>
      <c r="C55" s="2">
        <f t="shared" si="0"/>
        <v>47.64</v>
      </c>
    </row>
    <row r="56" spans="1:3" x14ac:dyDescent="0.3">
      <c r="A56" t="s">
        <v>87</v>
      </c>
      <c r="B56">
        <v>39.700000000000003</v>
      </c>
      <c r="C56" s="2">
        <f t="shared" si="0"/>
        <v>47.64</v>
      </c>
    </row>
    <row r="57" spans="1:3" x14ac:dyDescent="0.3">
      <c r="A57" t="s">
        <v>88</v>
      </c>
      <c r="B57">
        <v>46.3</v>
      </c>
      <c r="C57" s="2">
        <f t="shared" si="0"/>
        <v>55.559999999999995</v>
      </c>
    </row>
    <row r="58" spans="1:3" x14ac:dyDescent="0.3">
      <c r="A58" t="s">
        <v>89</v>
      </c>
      <c r="B58">
        <v>49.6</v>
      </c>
      <c r="C58" s="2">
        <f t="shared" si="0"/>
        <v>59.52</v>
      </c>
    </row>
    <row r="59" spans="1:3" x14ac:dyDescent="0.3">
      <c r="A59" t="s">
        <v>90</v>
      </c>
      <c r="B59">
        <v>70</v>
      </c>
      <c r="C59" s="2">
        <f t="shared" si="0"/>
        <v>84</v>
      </c>
    </row>
    <row r="60" spans="1:3" x14ac:dyDescent="0.3">
      <c r="A60" t="s">
        <v>91</v>
      </c>
      <c r="B60">
        <v>285</v>
      </c>
      <c r="C60" s="2">
        <f t="shared" si="0"/>
        <v>342</v>
      </c>
    </row>
    <row r="61" spans="1:3" x14ac:dyDescent="0.3">
      <c r="A61" t="s">
        <v>92</v>
      </c>
      <c r="B61">
        <v>186</v>
      </c>
      <c r="C61" s="2">
        <f t="shared" si="0"/>
        <v>223.2</v>
      </c>
    </row>
    <row r="62" spans="1:3" x14ac:dyDescent="0.3">
      <c r="A62" t="s">
        <v>93</v>
      </c>
      <c r="B62">
        <v>95.8</v>
      </c>
      <c r="C62" s="2">
        <f t="shared" si="0"/>
        <v>114.96</v>
      </c>
    </row>
    <row r="63" spans="1:3" x14ac:dyDescent="0.3">
      <c r="A63" t="s">
        <v>94</v>
      </c>
      <c r="B63">
        <v>45</v>
      </c>
      <c r="C63" s="2">
        <f t="shared" si="0"/>
        <v>54</v>
      </c>
    </row>
    <row r="64" spans="1:3" x14ac:dyDescent="0.3">
      <c r="A64" t="s">
        <v>95</v>
      </c>
      <c r="B64">
        <v>45</v>
      </c>
      <c r="C64" s="2">
        <f t="shared" si="0"/>
        <v>54</v>
      </c>
    </row>
    <row r="65" spans="1:3" x14ac:dyDescent="0.3">
      <c r="A65" t="s">
        <v>96</v>
      </c>
      <c r="B65">
        <v>45</v>
      </c>
      <c r="C65" s="2">
        <f t="shared" si="0"/>
        <v>54</v>
      </c>
    </row>
    <row r="66" spans="1:3" x14ac:dyDescent="0.3">
      <c r="A66" t="s">
        <v>97</v>
      </c>
      <c r="B66">
        <v>45</v>
      </c>
      <c r="C66" s="2">
        <f t="shared" si="0"/>
        <v>54</v>
      </c>
    </row>
    <row r="67" spans="1:3" x14ac:dyDescent="0.3">
      <c r="A67" t="s">
        <v>98</v>
      </c>
      <c r="B67">
        <v>45</v>
      </c>
      <c r="C67" s="2">
        <f t="shared" ref="C67:C72" si="1">(B67*0.2)+B67</f>
        <v>54</v>
      </c>
    </row>
    <row r="68" spans="1:3" x14ac:dyDescent="0.3">
      <c r="A68" t="s">
        <v>99</v>
      </c>
      <c r="B68">
        <v>46</v>
      </c>
      <c r="C68" s="2">
        <f t="shared" si="1"/>
        <v>55.2</v>
      </c>
    </row>
    <row r="69" spans="1:3" x14ac:dyDescent="0.3">
      <c r="A69" t="s">
        <v>100</v>
      </c>
      <c r="B69">
        <v>47</v>
      </c>
      <c r="C69" s="2">
        <f t="shared" si="1"/>
        <v>56.4</v>
      </c>
    </row>
    <row r="70" spans="1:3" x14ac:dyDescent="0.3">
      <c r="A70" t="s">
        <v>101</v>
      </c>
      <c r="B70">
        <v>48</v>
      </c>
      <c r="C70" s="2">
        <f t="shared" si="1"/>
        <v>57.6</v>
      </c>
    </row>
    <row r="71" spans="1:3" x14ac:dyDescent="0.3">
      <c r="A71" t="s">
        <v>102</v>
      </c>
      <c r="B71">
        <v>49</v>
      </c>
      <c r="C71" s="2">
        <f t="shared" si="1"/>
        <v>58.8</v>
      </c>
    </row>
    <row r="72" spans="1:3" x14ac:dyDescent="0.3">
      <c r="A72" t="s">
        <v>103</v>
      </c>
      <c r="B72">
        <v>45</v>
      </c>
      <c r="C72" s="2">
        <f t="shared" si="1"/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Labcorp</vt:lpstr>
      <vt:lpstr>eScreen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Harvey Rodelo</dc:creator>
  <cp:lastModifiedBy>Harvey Rodelo</cp:lastModifiedBy>
  <dcterms:created xsi:type="dcterms:W3CDTF">2025-12-09T16:52:38Z</dcterms:created>
  <dcterms:modified xsi:type="dcterms:W3CDTF">2025-12-09T16:58:19Z</dcterms:modified>
</cp:coreProperties>
</file>